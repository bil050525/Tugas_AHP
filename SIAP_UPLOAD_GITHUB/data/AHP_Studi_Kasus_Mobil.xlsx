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dasboard_AHP\"/>
    </mc:Choice>
  </mc:AlternateContent>
  <xr:revisionPtr revIDLastSave="0" documentId="13_ncr:1_{97EC76A3-2C6C-4892-8D65-34BE8915215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HP_Mobil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7" i="1" l="1"/>
  <c r="B100" i="1" l="1"/>
  <c r="B99" i="1"/>
  <c r="B102" i="1"/>
  <c r="C100" i="1"/>
  <c r="C99" i="1"/>
  <c r="C98" i="1"/>
  <c r="C97" i="1"/>
  <c r="D70" i="1"/>
  <c r="C70" i="1"/>
  <c r="B70" i="1"/>
  <c r="E67" i="1" s="1"/>
  <c r="E69" i="1"/>
  <c r="D68" i="1"/>
  <c r="B68" i="1"/>
  <c r="D67" i="1"/>
  <c r="C67" i="1"/>
  <c r="C54" i="1"/>
  <c r="B54" i="1"/>
  <c r="B58" i="1" s="1"/>
  <c r="D53" i="1"/>
  <c r="E52" i="1" s="1"/>
  <c r="E51" i="1"/>
  <c r="D51" i="1"/>
  <c r="B51" i="1"/>
  <c r="E50" i="1"/>
  <c r="D50" i="1"/>
  <c r="C50" i="1"/>
  <c r="C37" i="1"/>
  <c r="B37" i="1"/>
  <c r="B42" i="1" s="1"/>
  <c r="D36" i="1"/>
  <c r="E35" i="1"/>
  <c r="E34" i="1"/>
  <c r="D34" i="1"/>
  <c r="B34" i="1"/>
  <c r="E33" i="1"/>
  <c r="D33" i="1"/>
  <c r="C33" i="1"/>
  <c r="C20" i="1"/>
  <c r="D19" i="1" s="1"/>
  <c r="B20" i="1"/>
  <c r="D18" i="1" s="1"/>
  <c r="C18" i="1"/>
  <c r="E54" i="1" l="1"/>
  <c r="D21" i="1"/>
  <c r="B21" i="1"/>
  <c r="C59" i="1"/>
  <c r="C21" i="1"/>
  <c r="C42" i="1"/>
  <c r="D71" i="1"/>
  <c r="E37" i="1"/>
  <c r="E57" i="1"/>
  <c r="C40" i="1"/>
  <c r="C43" i="1"/>
  <c r="C26" i="1"/>
  <c r="B59" i="1"/>
  <c r="B57" i="1"/>
  <c r="B60" i="1"/>
  <c r="D54" i="1"/>
  <c r="C60" i="1"/>
  <c r="E71" i="1"/>
  <c r="C57" i="1"/>
  <c r="E68" i="1"/>
  <c r="D37" i="1"/>
  <c r="B43" i="1"/>
  <c r="C58" i="1"/>
  <c r="B71" i="1"/>
  <c r="B40" i="1"/>
  <c r="C71" i="1"/>
  <c r="D40" i="1"/>
  <c r="E40" i="1"/>
  <c r="B41" i="1"/>
  <c r="C41" i="1"/>
  <c r="G58" i="1" l="1"/>
  <c r="H58" i="1" s="1"/>
  <c r="G42" i="1"/>
  <c r="H42" i="1" s="1"/>
  <c r="B86" i="1" s="1"/>
  <c r="E77" i="1"/>
  <c r="B25" i="1"/>
  <c r="B24" i="1"/>
  <c r="E74" i="1"/>
  <c r="E43" i="1"/>
  <c r="E41" i="1"/>
  <c r="E44" i="1" s="1"/>
  <c r="B26" i="1"/>
  <c r="C76" i="1"/>
  <c r="C75" i="1"/>
  <c r="D76" i="1"/>
  <c r="D75" i="1"/>
  <c r="D26" i="1"/>
  <c r="B44" i="1"/>
  <c r="G40" i="1"/>
  <c r="H40" i="1" s="1"/>
  <c r="D59" i="1"/>
  <c r="G59" i="1" s="1"/>
  <c r="H59" i="1" s="1"/>
  <c r="D58" i="1"/>
  <c r="D77" i="1"/>
  <c r="D24" i="1"/>
  <c r="B76" i="1"/>
  <c r="B74" i="1"/>
  <c r="B75" i="1"/>
  <c r="G60" i="1"/>
  <c r="H60" i="1" s="1"/>
  <c r="C87" i="1" s="1"/>
  <c r="D74" i="1"/>
  <c r="D78" i="1" s="1"/>
  <c r="B61" i="1"/>
  <c r="G57" i="1"/>
  <c r="H57" i="1" s="1"/>
  <c r="E60" i="1"/>
  <c r="E58" i="1"/>
  <c r="E61" i="1" s="1"/>
  <c r="D57" i="1"/>
  <c r="D60" i="1"/>
  <c r="E59" i="1"/>
  <c r="D42" i="1"/>
  <c r="D41" i="1"/>
  <c r="D44" i="1" s="1"/>
  <c r="C25" i="1"/>
  <c r="C24" i="1"/>
  <c r="C27" i="1" s="1"/>
  <c r="E76" i="1"/>
  <c r="C74" i="1"/>
  <c r="C77" i="1"/>
  <c r="B77" i="1"/>
  <c r="D25" i="1"/>
  <c r="E75" i="1"/>
  <c r="C61" i="1"/>
  <c r="C44" i="1"/>
  <c r="E42" i="1"/>
  <c r="D43" i="1"/>
  <c r="G43" i="1" s="1"/>
  <c r="H43" i="1" s="1"/>
  <c r="B87" i="1" l="1"/>
  <c r="I43" i="1"/>
  <c r="C86" i="1"/>
  <c r="I59" i="1"/>
  <c r="C84" i="1"/>
  <c r="I57" i="1"/>
  <c r="I42" i="1"/>
  <c r="B84" i="1"/>
  <c r="I40" i="1"/>
  <c r="G41" i="1"/>
  <c r="H41" i="1" s="1"/>
  <c r="E78" i="1"/>
  <c r="G75" i="1"/>
  <c r="H75" i="1" s="1"/>
  <c r="B27" i="1"/>
  <c r="G24" i="1"/>
  <c r="H24" i="1" s="1"/>
  <c r="G77" i="1"/>
  <c r="H77" i="1" s="1"/>
  <c r="D61" i="1"/>
  <c r="B78" i="1"/>
  <c r="G74" i="1"/>
  <c r="H74" i="1" s="1"/>
  <c r="G76" i="1"/>
  <c r="H76" i="1" s="1"/>
  <c r="G25" i="1"/>
  <c r="H25" i="1" s="1"/>
  <c r="C78" i="1"/>
  <c r="D27" i="1"/>
  <c r="I60" i="1"/>
  <c r="G26" i="1"/>
  <c r="H26" i="1" s="1"/>
  <c r="C85" i="1"/>
  <c r="I58" i="1"/>
  <c r="B85" i="1" l="1"/>
  <c r="I41" i="1"/>
  <c r="H85" i="1"/>
  <c r="C93" i="1" s="1"/>
  <c r="I25" i="1"/>
  <c r="I44" i="1"/>
  <c r="D86" i="1"/>
  <c r="I76" i="1"/>
  <c r="B90" i="1"/>
  <c r="D84" i="1"/>
  <c r="D90" i="1" s="1"/>
  <c r="I74" i="1"/>
  <c r="I61" i="1"/>
  <c r="C90" i="1"/>
  <c r="D87" i="1"/>
  <c r="I77" i="1"/>
  <c r="C91" i="1"/>
  <c r="H84" i="1"/>
  <c r="B92" i="1" s="1"/>
  <c r="I24" i="1"/>
  <c r="C92" i="1"/>
  <c r="H86" i="1"/>
  <c r="I26" i="1"/>
  <c r="D85" i="1"/>
  <c r="D91" i="1" s="1"/>
  <c r="I75" i="1"/>
  <c r="B93" i="1"/>
  <c r="B109" i="1" l="1"/>
  <c r="I62" i="1"/>
  <c r="I78" i="1"/>
  <c r="G90" i="1"/>
  <c r="D92" i="1"/>
  <c r="I27" i="1"/>
  <c r="I45" i="1"/>
  <c r="B108" i="1"/>
  <c r="G92" i="1"/>
  <c r="D93" i="1"/>
  <c r="G93" i="1" s="1"/>
  <c r="B91" i="1"/>
  <c r="G91" i="1" s="1"/>
  <c r="H93" i="1" l="1"/>
  <c r="A100" i="1" s="1"/>
  <c r="B98" i="1"/>
  <c r="H91" i="1"/>
  <c r="A98" i="1" s="1"/>
  <c r="C108" i="1"/>
  <c r="I46" i="1"/>
  <c r="H90" i="1"/>
  <c r="H92" i="1"/>
  <c r="A99" i="1" s="1"/>
  <c r="B107" i="1"/>
  <c r="I28" i="1"/>
  <c r="B110" i="1"/>
  <c r="I79" i="1"/>
  <c r="C109" i="1"/>
  <c r="I63" i="1"/>
  <c r="A97" i="1" l="1"/>
  <c r="C110" i="1"/>
  <c r="I80" i="1"/>
  <c r="C107" i="1"/>
  <c r="I29" i="1"/>
  <c r="D108" i="1"/>
  <c r="K46" i="1"/>
  <c r="E108" i="1" s="1"/>
  <c r="D109" i="1"/>
  <c r="K63" i="1"/>
  <c r="E109" i="1" s="1"/>
  <c r="D107" i="1" l="1"/>
  <c r="K29" i="1"/>
  <c r="E107" i="1" s="1"/>
  <c r="K80" i="1"/>
  <c r="E110" i="1" s="1"/>
  <c r="D110" i="1"/>
</calcChain>
</file>

<file path=xl/sharedStrings.xml><?xml version="1.0" encoding="utf-8"?>
<sst xmlns="http://schemas.openxmlformats.org/spreadsheetml/2006/main" count="146" uniqueCount="41">
  <si>
    <t>Keterangan warna &amp; rumus:</t>
  </si>
  <si>
    <t>Hijau = nilai input perbandingan dari soal (segitiga bawah).</t>
  </si>
  <si>
    <t>Biru = otomatis kebalikan (1/nilai) dari sel hijau.</t>
  </si>
  <si>
    <t>Konsisten jika CR &lt;= 0,1 (CR = CI / RI).</t>
  </si>
  <si>
    <t>RI (tabel Saaty): n=3 -&gt; 0,58 ; n=4 -&gt; 0,9.</t>
  </si>
  <si>
    <t>Catatan: Style, Ertiga : Xenia diubah dari 2 (data soal) menjadi 4</t>
  </si>
  <si>
    <t>agar matriks Style konsisten (CR &lt;= 0,1).</t>
  </si>
  <si>
    <t>1. Perbandingan Kriteria dengan Kriteria</t>
  </si>
  <si>
    <t>Kriteria</t>
  </si>
  <si>
    <t>S</t>
  </si>
  <si>
    <t>K</t>
  </si>
  <si>
    <t>B</t>
  </si>
  <si>
    <t>TOTAL</t>
  </si>
  <si>
    <t>Vektor</t>
  </si>
  <si>
    <t>Bobot</t>
  </si>
  <si>
    <t>Eigen Value</t>
  </si>
  <si>
    <t>CI</t>
  </si>
  <si>
    <t>CR</t>
  </si>
  <si>
    <t>2. Perbandingan Kriteria Style dengan Alternatif</t>
  </si>
  <si>
    <t>Avanza</t>
  </si>
  <si>
    <t>Xenia</t>
  </si>
  <si>
    <t>Ertiga</t>
  </si>
  <si>
    <t>Grand Livina</t>
  </si>
  <si>
    <t>3. Perbandingan Kriteria Keandalan dengan Alternatif</t>
  </si>
  <si>
    <t>4. Perbandingan Kriteria Konsumsi Bahan Bakar dengan Alternatif</t>
  </si>
  <si>
    <t>5. Hasil Matrik Skor Alternatif</t>
  </si>
  <si>
    <t>Skor</t>
  </si>
  <si>
    <t>Nilai Bobot</t>
  </si>
  <si>
    <t xml:space="preserve">NILAI </t>
  </si>
  <si>
    <t>SKOR</t>
  </si>
  <si>
    <t>Hasil diatas menunjukkan bahwa mobil yang terpilih untuk dibeli adalah:</t>
  </si>
  <si>
    <t>Rangking</t>
  </si>
  <si>
    <t>Nilai Skor</t>
  </si>
  <si>
    <t>Mobil</t>
  </si>
  <si>
    <t>Mobil terpilih:</t>
  </si>
  <si>
    <t>6. Ringkasan Uji Konsistensi</t>
  </si>
  <si>
    <t>Matriks</t>
  </si>
  <si>
    <t>Status</t>
  </si>
  <si>
    <t>Style</t>
  </si>
  <si>
    <t>Keandalan</t>
  </si>
  <si>
    <t>Konsumsi BBM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</si>
</sst>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FFFFF"/>
      </patternFill>
    </fill>
    <fill>
      <patternFill patternType="solid">
        <fgColor rgb="FFB7DEE8"/>
        <bgColor rgb="FFD9D9D9"/>
      </patternFill>
    </fill>
    <fill>
      <patternFill patternType="solid">
        <fgColor rgb="FFD7E4BD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2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2" fillId="0" borderId="0" xfId="0" applyNumberFormat="1" applyFont="1"/>
    <xf numFmtId="0" fontId="1" fillId="3" borderId="0" xfId="0" applyFont="1" applyFill="1"/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DE9D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AHP_Mobil!$A$90:$A$93</c:f>
              <c:strCache>
                <c:ptCount val="4"/>
                <c:pt idx="0">
                  <c:v>Avanza</c:v>
                </c:pt>
                <c:pt idx="1">
                  <c:v>Xenia</c:v>
                </c:pt>
                <c:pt idx="2">
                  <c:v>Ertiga</c:v>
                </c:pt>
                <c:pt idx="3">
                  <c:v>Grand Livina</c:v>
                </c:pt>
              </c:strCache>
            </c:strRef>
          </c:cat>
          <c:val>
            <c:numRef>
              <c:f>AHP_Mobil!$G$90:$G$93</c:f>
              <c:numCache>
                <c:formatCode>0.00</c:formatCode>
                <c:ptCount val="4"/>
                <c:pt idx="0">
                  <c:v>0.14804965597145808</c:v>
                </c:pt>
                <c:pt idx="1">
                  <c:v>9.5197778583851117E-2</c:v>
                </c:pt>
                <c:pt idx="2">
                  <c:v>0.48140333900980836</c:v>
                </c:pt>
                <c:pt idx="3">
                  <c:v>0.27534922643488235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6-4909-A7D2-4D9078DC3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615119"/>
        <c:axId val="1603062863"/>
      </c:barChart>
      <c:catAx>
        <c:axId val="16756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62863"/>
        <c:crosses val="autoZero"/>
        <c:auto val="1"/>
        <c:lblAlgn val="ctr"/>
        <c:lblOffset val="100"/>
        <c:noMultiLvlLbl val="0"/>
      </c:catAx>
      <c:valAx>
        <c:axId val="160306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1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845280</xdr:colOff>
      <xdr:row>14</xdr:row>
      <xdr:rowOff>28440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4476240" cy="2695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141714</xdr:colOff>
      <xdr:row>94</xdr:row>
      <xdr:rowOff>41662</xdr:rowOff>
    </xdr:from>
    <xdr:to>
      <xdr:col>11</xdr:col>
      <xdr:colOff>501031</xdr:colOff>
      <xdr:row>108</xdr:row>
      <xdr:rowOff>182911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3DC5D4-392E-68E7-76E7-14D3CC376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0"/>
  <sheetViews>
    <sheetView tabSelected="1" topLeftCell="A90" zoomScale="82" zoomScaleNormal="100" workbookViewId="0">
      <selection activeCell="R95" sqref="R95"/>
    </sheetView>
  </sheetViews>
  <sheetFormatPr defaultColWidth="8.6328125" defaultRowHeight="14.5" x14ac:dyDescent="0.35"/>
  <cols>
    <col min="1" max="1" width="14" customWidth="1"/>
    <col min="2" max="5" width="12.453125" customWidth="1"/>
    <col min="6" max="6" width="4.26953125" customWidth="1"/>
    <col min="7" max="9" width="11.453125" customWidth="1"/>
    <col min="10" max="10" width="4.26953125" customWidth="1"/>
    <col min="11" max="11" width="17.36328125" customWidth="1"/>
  </cols>
  <sheetData>
    <row r="2" spans="1:8" x14ac:dyDescent="0.35">
      <c r="H2" s="1" t="s">
        <v>0</v>
      </c>
    </row>
    <row r="3" spans="1:8" x14ac:dyDescent="0.35">
      <c r="H3" s="2" t="s">
        <v>1</v>
      </c>
    </row>
    <row r="4" spans="1:8" x14ac:dyDescent="0.35">
      <c r="H4" s="2" t="s">
        <v>2</v>
      </c>
    </row>
    <row r="5" spans="1:8" x14ac:dyDescent="0.35">
      <c r="H5" s="2" t="s">
        <v>3</v>
      </c>
    </row>
    <row r="6" spans="1:8" x14ac:dyDescent="0.35">
      <c r="H6" s="2" t="s">
        <v>4</v>
      </c>
    </row>
    <row r="7" spans="1:8" x14ac:dyDescent="0.35">
      <c r="H7" s="2" t="s">
        <v>5</v>
      </c>
    </row>
    <row r="8" spans="1:8" x14ac:dyDescent="0.35">
      <c r="H8" s="2" t="s">
        <v>6</v>
      </c>
    </row>
    <row r="16" spans="1:8" x14ac:dyDescent="0.35">
      <c r="A16" s="1" t="s">
        <v>7</v>
      </c>
    </row>
    <row r="17" spans="1:11" x14ac:dyDescent="0.35">
      <c r="A17" s="3" t="s">
        <v>8</v>
      </c>
      <c r="B17" s="3" t="s">
        <v>9</v>
      </c>
      <c r="C17" s="3" t="s">
        <v>10</v>
      </c>
      <c r="D17" s="3" t="s">
        <v>11</v>
      </c>
    </row>
    <row r="18" spans="1:11" x14ac:dyDescent="0.35">
      <c r="A18" s="4" t="s">
        <v>9</v>
      </c>
      <c r="B18" s="5">
        <v>1</v>
      </c>
      <c r="C18" s="6">
        <f>1/B19</f>
        <v>0.5</v>
      </c>
      <c r="D18" s="6">
        <f>1/B20</f>
        <v>3</v>
      </c>
    </row>
    <row r="19" spans="1:11" x14ac:dyDescent="0.35">
      <c r="A19" s="4" t="s">
        <v>10</v>
      </c>
      <c r="B19" s="7">
        <v>2</v>
      </c>
      <c r="C19" s="5">
        <v>1</v>
      </c>
      <c r="D19" s="6">
        <f>1/C20</f>
        <v>4</v>
      </c>
    </row>
    <row r="20" spans="1:11" x14ac:dyDescent="0.35">
      <c r="A20" s="4" t="s">
        <v>11</v>
      </c>
      <c r="B20" s="7">
        <f>1/3</f>
        <v>0.33333333333333331</v>
      </c>
      <c r="C20" s="7">
        <f>1/4</f>
        <v>0.25</v>
      </c>
      <c r="D20" s="5">
        <v>1</v>
      </c>
    </row>
    <row r="21" spans="1:11" x14ac:dyDescent="0.35">
      <c r="A21" s="3" t="s">
        <v>12</v>
      </c>
      <c r="B21" s="8">
        <f>SUM(B18:B20)</f>
        <v>3.3333333333333335</v>
      </c>
      <c r="C21" s="8">
        <f>SUM(C18:C20)</f>
        <v>1.75</v>
      </c>
      <c r="D21" s="8">
        <f>SUM(D18:D20)</f>
        <v>8</v>
      </c>
    </row>
    <row r="23" spans="1:11" ht="28.5" customHeight="1" x14ac:dyDescent="0.35">
      <c r="A23" s="3" t="s">
        <v>8</v>
      </c>
      <c r="B23" s="3" t="s">
        <v>9</v>
      </c>
      <c r="C23" s="3" t="s">
        <v>10</v>
      </c>
      <c r="D23" s="3" t="s">
        <v>11</v>
      </c>
      <c r="G23" s="3" t="s">
        <v>13</v>
      </c>
      <c r="H23" s="3" t="s">
        <v>14</v>
      </c>
      <c r="I23" s="9" t="s">
        <v>15</v>
      </c>
    </row>
    <row r="24" spans="1:11" x14ac:dyDescent="0.35">
      <c r="A24" s="3" t="s">
        <v>9</v>
      </c>
      <c r="B24" s="5">
        <f>B18/$B$21</f>
        <v>0.3</v>
      </c>
      <c r="C24" s="5">
        <f>C18/$C$21</f>
        <v>0.2857142857142857</v>
      </c>
      <c r="D24" s="5">
        <f>D18/$D$21</f>
        <v>0.375</v>
      </c>
      <c r="G24" s="8">
        <f>SUM(B24:D24)</f>
        <v>0.96071428571428563</v>
      </c>
      <c r="H24" s="10">
        <f>G24/3</f>
        <v>0.32023809523809521</v>
      </c>
      <c r="I24" s="10">
        <f>B21*H24</f>
        <v>1.0674603174603174</v>
      </c>
    </row>
    <row r="25" spans="1:11" x14ac:dyDescent="0.35">
      <c r="A25" s="3" t="s">
        <v>10</v>
      </c>
      <c r="B25" s="5">
        <f>B19/$B$21</f>
        <v>0.6</v>
      </c>
      <c r="C25" s="5">
        <f>C19/$C$21</f>
        <v>0.5714285714285714</v>
      </c>
      <c r="D25" s="5">
        <f>D19/$D$21</f>
        <v>0.5</v>
      </c>
      <c r="G25" s="8">
        <f>SUM(B25:D25)</f>
        <v>1.6714285714285713</v>
      </c>
      <c r="H25" s="10">
        <f>G25/3</f>
        <v>0.55714285714285705</v>
      </c>
      <c r="I25" s="10">
        <f>C21*H25</f>
        <v>0.97499999999999987</v>
      </c>
    </row>
    <row r="26" spans="1:11" x14ac:dyDescent="0.35">
      <c r="A26" s="3" t="s">
        <v>11</v>
      </c>
      <c r="B26" s="5">
        <f>B20/$B$21</f>
        <v>9.9999999999999992E-2</v>
      </c>
      <c r="C26" s="5">
        <f>C20/$C$21</f>
        <v>0.14285714285714285</v>
      </c>
      <c r="D26" s="5">
        <f>D20/$D$21</f>
        <v>0.125</v>
      </c>
      <c r="G26" s="8">
        <f>SUM(B26:D26)</f>
        <v>0.36785714285714283</v>
      </c>
      <c r="H26" s="10">
        <f>G26/3</f>
        <v>0.12261904761904761</v>
      </c>
      <c r="I26" s="10">
        <f>D21*H26</f>
        <v>0.98095238095238091</v>
      </c>
    </row>
    <row r="27" spans="1:11" x14ac:dyDescent="0.35">
      <c r="A27" s="4" t="s">
        <v>12</v>
      </c>
      <c r="B27" s="11">
        <f>SUM(B24:B26)</f>
        <v>0.99999999999999989</v>
      </c>
      <c r="C27" s="11">
        <f>SUM(C24:C26)</f>
        <v>1</v>
      </c>
      <c r="D27" s="11">
        <f>SUM(D24:D26)</f>
        <v>1</v>
      </c>
      <c r="I27" s="10">
        <f>SUM(I24:I26)</f>
        <v>3.0234126984126983</v>
      </c>
    </row>
    <row r="28" spans="1:11" x14ac:dyDescent="0.35">
      <c r="H28" s="12" t="s">
        <v>16</v>
      </c>
      <c r="I28" s="13">
        <f>(I27-3)/(3-1)</f>
        <v>1.1706349206349165E-2</v>
      </c>
    </row>
    <row r="29" spans="1:11" x14ac:dyDescent="0.35">
      <c r="H29" s="12" t="s">
        <v>17</v>
      </c>
      <c r="I29" s="13">
        <f>I28/0.58</f>
        <v>2.0183360700602011E-2</v>
      </c>
      <c r="K29" s="14" t="str">
        <f>IF(I29&lt;=0.1,"Konsisten","Tidak Konsisten")</f>
        <v>Konsisten</v>
      </c>
    </row>
    <row r="31" spans="1:11" x14ac:dyDescent="0.35">
      <c r="A31" s="1" t="s">
        <v>18</v>
      </c>
    </row>
    <row r="32" spans="1:11" x14ac:dyDescent="0.35">
      <c r="A32" s="3" t="s">
        <v>8</v>
      </c>
      <c r="B32" s="3" t="s">
        <v>19</v>
      </c>
      <c r="C32" s="3" t="s">
        <v>20</v>
      </c>
      <c r="D32" s="3" t="s">
        <v>21</v>
      </c>
      <c r="E32" s="3" t="s">
        <v>22</v>
      </c>
    </row>
    <row r="33" spans="1:11" x14ac:dyDescent="0.35">
      <c r="A33" s="4" t="s">
        <v>19</v>
      </c>
      <c r="B33" s="5">
        <v>1</v>
      </c>
      <c r="C33" s="6">
        <f>1/B34</f>
        <v>2</v>
      </c>
      <c r="D33" s="6">
        <f>1/B35</f>
        <v>0.33333333333333331</v>
      </c>
      <c r="E33" s="6">
        <f>1/B36</f>
        <v>0.25</v>
      </c>
    </row>
    <row r="34" spans="1:11" x14ac:dyDescent="0.35">
      <c r="A34" s="4" t="s">
        <v>20</v>
      </c>
      <c r="B34" s="7">
        <f>1/2</f>
        <v>0.5</v>
      </c>
      <c r="C34" s="5">
        <v>1</v>
      </c>
      <c r="D34" s="6">
        <f>1/C35</f>
        <v>0.25</v>
      </c>
      <c r="E34" s="6">
        <f>1/C36</f>
        <v>0.2</v>
      </c>
    </row>
    <row r="35" spans="1:11" x14ac:dyDescent="0.35">
      <c r="A35" s="4" t="s">
        <v>21</v>
      </c>
      <c r="B35" s="7">
        <v>3</v>
      </c>
      <c r="C35" s="7">
        <v>4</v>
      </c>
      <c r="D35" s="5">
        <v>1</v>
      </c>
      <c r="E35" s="6">
        <f>1/D36</f>
        <v>2</v>
      </c>
    </row>
    <row r="36" spans="1:11" x14ac:dyDescent="0.35">
      <c r="A36" s="4" t="s">
        <v>22</v>
      </c>
      <c r="B36" s="7">
        <v>4</v>
      </c>
      <c r="C36" s="7">
        <v>5</v>
      </c>
      <c r="D36" s="7">
        <f>1/2</f>
        <v>0.5</v>
      </c>
      <c r="E36" s="5">
        <v>1</v>
      </c>
    </row>
    <row r="37" spans="1:11" x14ac:dyDescent="0.35">
      <c r="A37" s="3" t="s">
        <v>12</v>
      </c>
      <c r="B37" s="8">
        <f>SUM(B33:B36)</f>
        <v>8.5</v>
      </c>
      <c r="C37" s="8">
        <f>SUM(C33:C36)</f>
        <v>12</v>
      </c>
      <c r="D37" s="8">
        <f>SUM(D33:D36)</f>
        <v>2.083333333333333</v>
      </c>
      <c r="E37" s="8">
        <f>SUM(E33:E36)</f>
        <v>3.45</v>
      </c>
    </row>
    <row r="39" spans="1:11" ht="28.5" customHeight="1" x14ac:dyDescent="0.35">
      <c r="A39" s="3" t="s">
        <v>8</v>
      </c>
      <c r="B39" s="3" t="s">
        <v>19</v>
      </c>
      <c r="C39" s="3" t="s">
        <v>20</v>
      </c>
      <c r="D39" s="3" t="s">
        <v>21</v>
      </c>
      <c r="E39" s="3" t="s">
        <v>22</v>
      </c>
      <c r="G39" s="3" t="s">
        <v>13</v>
      </c>
      <c r="H39" s="3" t="s">
        <v>14</v>
      </c>
      <c r="I39" s="9" t="s">
        <v>15</v>
      </c>
    </row>
    <row r="40" spans="1:11" x14ac:dyDescent="0.35">
      <c r="A40" s="3" t="s">
        <v>19</v>
      </c>
      <c r="B40" s="5">
        <f>B33/$B$37</f>
        <v>0.11764705882352941</v>
      </c>
      <c r="C40" s="5">
        <f>C33/$C$37</f>
        <v>0.16666666666666666</v>
      </c>
      <c r="D40" s="5">
        <f>D33/$D$37</f>
        <v>0.16</v>
      </c>
      <c r="E40" s="5">
        <f>E33/$E$37</f>
        <v>7.2463768115942032E-2</v>
      </c>
      <c r="G40" s="8">
        <f>SUM(B40:E40)</f>
        <v>0.51677749360613812</v>
      </c>
      <c r="H40" s="10">
        <f>G40/4</f>
        <v>0.12919437340153453</v>
      </c>
      <c r="I40" s="10">
        <f>B37*H40</f>
        <v>1.0981521739130435</v>
      </c>
    </row>
    <row r="41" spans="1:11" x14ac:dyDescent="0.35">
      <c r="A41" s="3" t="s">
        <v>20</v>
      </c>
      <c r="B41" s="5">
        <f>B34/$B$37</f>
        <v>5.8823529411764705E-2</v>
      </c>
      <c r="C41" s="5">
        <f>C34/$C$37</f>
        <v>8.3333333333333329E-2</v>
      </c>
      <c r="D41" s="5">
        <f>D34/$D$37</f>
        <v>0.12000000000000002</v>
      </c>
      <c r="E41" s="5">
        <f>E34/$E$37</f>
        <v>5.7971014492753624E-2</v>
      </c>
      <c r="G41" s="8">
        <f>SUM(B41:E41)</f>
        <v>0.32012787723785169</v>
      </c>
      <c r="H41" s="10">
        <f>G41/4</f>
        <v>8.0031969309462922E-2</v>
      </c>
      <c r="I41" s="10">
        <f>C37*H41</f>
        <v>0.96038363171355501</v>
      </c>
    </row>
    <row r="42" spans="1:11" x14ac:dyDescent="0.35">
      <c r="A42" s="3" t="s">
        <v>21</v>
      </c>
      <c r="B42" s="5">
        <f>B35/$B$37</f>
        <v>0.35294117647058826</v>
      </c>
      <c r="C42" s="5">
        <f>C35/$C$37</f>
        <v>0.33333333333333331</v>
      </c>
      <c r="D42" s="5">
        <f>D35/$D$37</f>
        <v>0.48000000000000009</v>
      </c>
      <c r="E42" s="5">
        <f>E35/$E$37</f>
        <v>0.57971014492753625</v>
      </c>
      <c r="G42" s="8">
        <f>SUM(B42:E42)</f>
        <v>1.7459846547314579</v>
      </c>
      <c r="H42" s="10">
        <f>G42/4</f>
        <v>0.43649616368286448</v>
      </c>
      <c r="I42" s="10">
        <f>D37*H42</f>
        <v>0.90936700767263423</v>
      </c>
    </row>
    <row r="43" spans="1:11" x14ac:dyDescent="0.35">
      <c r="A43" s="3" t="s">
        <v>22</v>
      </c>
      <c r="B43" s="5">
        <f>B36/$B$37</f>
        <v>0.47058823529411764</v>
      </c>
      <c r="C43" s="5">
        <f>C36/$C$37</f>
        <v>0.41666666666666669</v>
      </c>
      <c r="D43" s="5">
        <f>D36/$D$37</f>
        <v>0.24000000000000005</v>
      </c>
      <c r="E43" s="5">
        <f>E36/$E$37</f>
        <v>0.28985507246376813</v>
      </c>
      <c r="G43" s="8">
        <f>SUM(B43:E43)</f>
        <v>1.4171099744245523</v>
      </c>
      <c r="H43" s="10">
        <f>G43/4</f>
        <v>0.35427749360613808</v>
      </c>
      <c r="I43" s="10">
        <f>E37*H43</f>
        <v>1.2222573529411764</v>
      </c>
    </row>
    <row r="44" spans="1:11" x14ac:dyDescent="0.35">
      <c r="A44" s="4" t="s">
        <v>12</v>
      </c>
      <c r="B44" s="11">
        <f>SUM(B40:B43)</f>
        <v>1</v>
      </c>
      <c r="C44" s="11">
        <f>SUM(C40:C43)</f>
        <v>1</v>
      </c>
      <c r="D44" s="11">
        <f>SUM(D40:D43)</f>
        <v>1.0000000000000002</v>
      </c>
      <c r="E44" s="11">
        <f>SUM(E40:E43)</f>
        <v>1</v>
      </c>
      <c r="I44" s="10">
        <f>SUM(I40:I43)</f>
        <v>4.1901601662404087</v>
      </c>
    </row>
    <row r="45" spans="1:11" x14ac:dyDescent="0.35">
      <c r="H45" s="12" t="s">
        <v>16</v>
      </c>
      <c r="I45" s="13">
        <f>(I44-4)/(4-1)</f>
        <v>6.3386722080136224E-2</v>
      </c>
    </row>
    <row r="46" spans="1:11" x14ac:dyDescent="0.35">
      <c r="H46" s="12" t="s">
        <v>17</v>
      </c>
      <c r="I46" s="13">
        <f>I45/0.9</f>
        <v>7.0429691200151356E-2</v>
      </c>
      <c r="K46" s="14" t="str">
        <f>IF(I46&lt;=0.1,"Konsisten","Tidak Konsisten")</f>
        <v>Konsisten</v>
      </c>
    </row>
    <row r="48" spans="1:11" x14ac:dyDescent="0.35">
      <c r="A48" s="1" t="s">
        <v>23</v>
      </c>
    </row>
    <row r="49" spans="1:11" x14ac:dyDescent="0.35">
      <c r="A49" s="3" t="s">
        <v>8</v>
      </c>
      <c r="B49" s="3" t="s">
        <v>19</v>
      </c>
      <c r="C49" s="3" t="s">
        <v>20</v>
      </c>
      <c r="D49" s="3" t="s">
        <v>21</v>
      </c>
      <c r="E49" s="3" t="s">
        <v>22</v>
      </c>
    </row>
    <row r="50" spans="1:11" x14ac:dyDescent="0.35">
      <c r="A50" s="4" t="s">
        <v>19</v>
      </c>
      <c r="B50" s="5">
        <v>1</v>
      </c>
      <c r="C50" s="6">
        <f>1/B51</f>
        <v>2</v>
      </c>
      <c r="D50" s="6">
        <f>1/B52</f>
        <v>0.25</v>
      </c>
      <c r="E50" s="6">
        <f>1/B53</f>
        <v>0.33333333333333331</v>
      </c>
    </row>
    <row r="51" spans="1:11" x14ac:dyDescent="0.35">
      <c r="A51" s="4" t="s">
        <v>20</v>
      </c>
      <c r="B51" s="7">
        <f>1/2</f>
        <v>0.5</v>
      </c>
      <c r="C51" s="5">
        <v>1</v>
      </c>
      <c r="D51" s="6">
        <f>1/C52</f>
        <v>0.2</v>
      </c>
      <c r="E51" s="6">
        <f>1/C53</f>
        <v>0.25</v>
      </c>
    </row>
    <row r="52" spans="1:11" x14ac:dyDescent="0.35">
      <c r="A52" s="4" t="s">
        <v>21</v>
      </c>
      <c r="B52" s="7">
        <v>4</v>
      </c>
      <c r="C52" s="7">
        <v>5</v>
      </c>
      <c r="D52" s="5">
        <v>1</v>
      </c>
      <c r="E52" s="6">
        <f>1/D53</f>
        <v>3</v>
      </c>
    </row>
    <row r="53" spans="1:11" x14ac:dyDescent="0.35">
      <c r="A53" s="4" t="s">
        <v>22</v>
      </c>
      <c r="B53" s="7">
        <v>3</v>
      </c>
      <c r="C53" s="7">
        <v>4</v>
      </c>
      <c r="D53" s="7">
        <f>1/3</f>
        <v>0.33333333333333331</v>
      </c>
      <c r="E53" s="5">
        <v>1</v>
      </c>
    </row>
    <row r="54" spans="1:11" x14ac:dyDescent="0.35">
      <c r="A54" s="3" t="s">
        <v>12</v>
      </c>
      <c r="B54" s="8">
        <f>SUM(B50:B53)</f>
        <v>8.5</v>
      </c>
      <c r="C54" s="8">
        <f>SUM(C50:C53)</f>
        <v>12</v>
      </c>
      <c r="D54" s="8">
        <f>SUM(D50:D53)</f>
        <v>1.7833333333333332</v>
      </c>
      <c r="E54" s="8">
        <f>SUM(E50:E53)</f>
        <v>4.583333333333333</v>
      </c>
    </row>
    <row r="56" spans="1:11" ht="28.5" customHeight="1" x14ac:dyDescent="0.35">
      <c r="A56" s="3" t="s">
        <v>8</v>
      </c>
      <c r="B56" s="3" t="s">
        <v>19</v>
      </c>
      <c r="C56" s="3" t="s">
        <v>20</v>
      </c>
      <c r="D56" s="3" t="s">
        <v>21</v>
      </c>
      <c r="E56" s="3" t="s">
        <v>22</v>
      </c>
      <c r="G56" s="3" t="s">
        <v>13</v>
      </c>
      <c r="H56" s="3" t="s">
        <v>14</v>
      </c>
      <c r="I56" s="9" t="s">
        <v>15</v>
      </c>
    </row>
    <row r="57" spans="1:11" x14ac:dyDescent="0.35">
      <c r="A57" s="3" t="s">
        <v>19</v>
      </c>
      <c r="B57" s="5">
        <f>B50/$B$54</f>
        <v>0.11764705882352941</v>
      </c>
      <c r="C57" s="5">
        <f>C50/$C$54</f>
        <v>0.16666666666666666</v>
      </c>
      <c r="D57" s="5">
        <f>D50/$D$54</f>
        <v>0.14018691588785048</v>
      </c>
      <c r="E57" s="5">
        <f>E50/$E$54</f>
        <v>7.2727272727272724E-2</v>
      </c>
      <c r="G57" s="8">
        <f>SUM(B57:E57)</f>
        <v>0.4972279141053193</v>
      </c>
      <c r="H57" s="10">
        <f>G57/4</f>
        <v>0.12430697852632983</v>
      </c>
      <c r="I57" s="10">
        <f>B54*H57</f>
        <v>1.0566093174738036</v>
      </c>
    </row>
    <row r="58" spans="1:11" x14ac:dyDescent="0.35">
      <c r="A58" s="3" t="s">
        <v>20</v>
      </c>
      <c r="B58" s="5">
        <f>B51/$B$54</f>
        <v>5.8823529411764705E-2</v>
      </c>
      <c r="C58" s="5">
        <f>C51/$C$54</f>
        <v>8.3333333333333329E-2</v>
      </c>
      <c r="D58" s="5">
        <f>D51/$D$54</f>
        <v>0.11214953271028039</v>
      </c>
      <c r="E58" s="5">
        <f>E51/$E$54</f>
        <v>5.454545454545455E-2</v>
      </c>
      <c r="G58" s="8">
        <f>SUM(B58:E58)</f>
        <v>0.30885185000083298</v>
      </c>
      <c r="H58" s="10">
        <f>G58/4</f>
        <v>7.7212962500208246E-2</v>
      </c>
      <c r="I58" s="10">
        <f>C54*H58</f>
        <v>0.9265555500024989</v>
      </c>
    </row>
    <row r="59" spans="1:11" x14ac:dyDescent="0.35">
      <c r="A59" s="3" t="s">
        <v>21</v>
      </c>
      <c r="B59" s="5">
        <f>B52/$B$54</f>
        <v>0.47058823529411764</v>
      </c>
      <c r="C59" s="5">
        <f>C52/$C$54</f>
        <v>0.41666666666666669</v>
      </c>
      <c r="D59" s="5">
        <f>D52/$D$54</f>
        <v>0.56074766355140193</v>
      </c>
      <c r="E59" s="5">
        <f>E52/$E$54</f>
        <v>0.65454545454545454</v>
      </c>
      <c r="G59" s="8">
        <f>SUM(B59:E59)</f>
        <v>2.1025480200576405</v>
      </c>
      <c r="H59" s="10">
        <f>G59/4</f>
        <v>0.52563700501441013</v>
      </c>
      <c r="I59" s="10">
        <f>D54*H59</f>
        <v>0.93738599227569797</v>
      </c>
    </row>
    <row r="60" spans="1:11" x14ac:dyDescent="0.35">
      <c r="A60" s="3" t="s">
        <v>22</v>
      </c>
      <c r="B60" s="5">
        <f>B53/$B$54</f>
        <v>0.35294117647058826</v>
      </c>
      <c r="C60" s="5">
        <f>C53/$C$54</f>
        <v>0.33333333333333331</v>
      </c>
      <c r="D60" s="5">
        <f>D53/$D$54</f>
        <v>0.18691588785046728</v>
      </c>
      <c r="E60" s="5">
        <f>E53/$E$54</f>
        <v>0.2181818181818182</v>
      </c>
      <c r="G60" s="8">
        <f>SUM(B60:E60)</f>
        <v>1.0913722158362071</v>
      </c>
      <c r="H60" s="10">
        <f>G60/4</f>
        <v>0.27284305395905178</v>
      </c>
      <c r="I60" s="10">
        <f>E54*H60</f>
        <v>1.2505306639789873</v>
      </c>
    </row>
    <row r="61" spans="1:11" x14ac:dyDescent="0.35">
      <c r="A61" s="4" t="s">
        <v>12</v>
      </c>
      <c r="B61" s="11">
        <f>SUM(B57:B60)</f>
        <v>1</v>
      </c>
      <c r="C61" s="11">
        <f>SUM(C57:C60)</f>
        <v>1</v>
      </c>
      <c r="D61" s="11">
        <f>SUM(D57:D60)</f>
        <v>1</v>
      </c>
      <c r="E61" s="11">
        <f>SUM(E57:E60)</f>
        <v>1</v>
      </c>
      <c r="I61" s="10">
        <f>SUM(I57:I60)</f>
        <v>4.1710815237309884</v>
      </c>
    </row>
    <row r="62" spans="1:11" x14ac:dyDescent="0.35">
      <c r="H62" s="12" t="s">
        <v>16</v>
      </c>
      <c r="I62" s="13">
        <f>(I61-4)/(4-1)</f>
        <v>5.7027174576996131E-2</v>
      </c>
    </row>
    <row r="63" spans="1:11" x14ac:dyDescent="0.35">
      <c r="H63" s="12" t="s">
        <v>17</v>
      </c>
      <c r="I63" s="13">
        <f>I62/0.9</f>
        <v>6.3363527307773476E-2</v>
      </c>
      <c r="K63" s="14" t="str">
        <f>IF(I63&lt;=0.1,"Konsisten","Tidak Konsisten")</f>
        <v>Konsisten</v>
      </c>
    </row>
    <row r="65" spans="1:11" x14ac:dyDescent="0.35">
      <c r="A65" s="1" t="s">
        <v>24</v>
      </c>
    </row>
    <row r="66" spans="1:11" x14ac:dyDescent="0.35">
      <c r="A66" s="3" t="s">
        <v>8</v>
      </c>
      <c r="B66" s="3" t="s">
        <v>19</v>
      </c>
      <c r="C66" s="3" t="s">
        <v>20</v>
      </c>
      <c r="D66" s="3" t="s">
        <v>21</v>
      </c>
      <c r="E66" s="3" t="s">
        <v>22</v>
      </c>
    </row>
    <row r="67" spans="1:11" x14ac:dyDescent="0.35">
      <c r="A67" s="4" t="s">
        <v>19</v>
      </c>
      <c r="B67" s="5">
        <v>1</v>
      </c>
      <c r="C67" s="6">
        <f>1/B68</f>
        <v>2</v>
      </c>
      <c r="D67" s="6">
        <f>1/B69</f>
        <v>0.5</v>
      </c>
      <c r="E67" s="6">
        <f>1/B70</f>
        <v>4</v>
      </c>
    </row>
    <row r="68" spans="1:11" x14ac:dyDescent="0.35">
      <c r="A68" s="4" t="s">
        <v>20</v>
      </c>
      <c r="B68" s="7">
        <f>1/2</f>
        <v>0.5</v>
      </c>
      <c r="C68" s="5">
        <v>1</v>
      </c>
      <c r="D68" s="6">
        <f>1/C69</f>
        <v>0.66666666666666663</v>
      </c>
      <c r="E68" s="6">
        <f>1/C70</f>
        <v>3</v>
      </c>
    </row>
    <row r="69" spans="1:11" x14ac:dyDescent="0.35">
      <c r="A69" s="4" t="s">
        <v>21</v>
      </c>
      <c r="B69" s="7">
        <v>2</v>
      </c>
      <c r="C69" s="7">
        <v>1.5</v>
      </c>
      <c r="D69" s="5">
        <v>1</v>
      </c>
      <c r="E69" s="6">
        <f>1/D70</f>
        <v>4</v>
      </c>
    </row>
    <row r="70" spans="1:11" x14ac:dyDescent="0.35">
      <c r="A70" s="4" t="s">
        <v>22</v>
      </c>
      <c r="B70" s="7">
        <f>1/4</f>
        <v>0.25</v>
      </c>
      <c r="C70" s="7">
        <f>1/3</f>
        <v>0.33333333333333331</v>
      </c>
      <c r="D70" s="7">
        <f>1/4</f>
        <v>0.25</v>
      </c>
      <c r="E70" s="5">
        <v>1</v>
      </c>
    </row>
    <row r="71" spans="1:11" x14ac:dyDescent="0.35">
      <c r="A71" s="3" t="s">
        <v>12</v>
      </c>
      <c r="B71" s="8">
        <f>SUM(B67:B70)</f>
        <v>3.75</v>
      </c>
      <c r="C71" s="8">
        <f>SUM(C67:C70)</f>
        <v>4.833333333333333</v>
      </c>
      <c r="D71" s="8">
        <f>SUM(D67:D70)</f>
        <v>2.4166666666666665</v>
      </c>
      <c r="E71" s="8">
        <f>SUM(E67:E70)</f>
        <v>12</v>
      </c>
    </row>
    <row r="73" spans="1:11" ht="28.5" customHeight="1" x14ac:dyDescent="0.35">
      <c r="A73" s="3" t="s">
        <v>8</v>
      </c>
      <c r="B73" s="3" t="s">
        <v>19</v>
      </c>
      <c r="C73" s="3" t="s">
        <v>20</v>
      </c>
      <c r="D73" s="3" t="s">
        <v>21</v>
      </c>
      <c r="E73" s="3" t="s">
        <v>22</v>
      </c>
      <c r="G73" s="3" t="s">
        <v>13</v>
      </c>
      <c r="H73" s="3" t="s">
        <v>14</v>
      </c>
      <c r="I73" s="9" t="s">
        <v>15</v>
      </c>
    </row>
    <row r="74" spans="1:11" x14ac:dyDescent="0.35">
      <c r="A74" s="3" t="s">
        <v>19</v>
      </c>
      <c r="B74" s="5">
        <f>B67/$B$71</f>
        <v>0.26666666666666666</v>
      </c>
      <c r="C74" s="5">
        <f>C67/$C$71</f>
        <v>0.41379310344827591</v>
      </c>
      <c r="D74" s="5">
        <f>D67/$D$71</f>
        <v>0.20689655172413796</v>
      </c>
      <c r="E74" s="5">
        <f>E67/$E$71</f>
        <v>0.33333333333333331</v>
      </c>
      <c r="G74" s="8">
        <f>SUM(B74:E74)</f>
        <v>1.2206896551724138</v>
      </c>
      <c r="H74" s="10">
        <f>G74/4</f>
        <v>0.30517241379310345</v>
      </c>
      <c r="I74" s="10">
        <f>B71*H74</f>
        <v>1.1443965517241379</v>
      </c>
    </row>
    <row r="75" spans="1:11" x14ac:dyDescent="0.35">
      <c r="A75" s="3" t="s">
        <v>20</v>
      </c>
      <c r="B75" s="5">
        <f>B68/$B$71</f>
        <v>0.13333333333333333</v>
      </c>
      <c r="C75" s="5">
        <f>C68/$C$71</f>
        <v>0.20689655172413796</v>
      </c>
      <c r="D75" s="5">
        <f>D68/$D$71</f>
        <v>0.27586206896551724</v>
      </c>
      <c r="E75" s="5">
        <f>E68/$E$71</f>
        <v>0.25</v>
      </c>
      <c r="G75" s="8">
        <f>SUM(B75:E75)</f>
        <v>0.86609195402298855</v>
      </c>
      <c r="H75" s="10">
        <f>G75/4</f>
        <v>0.21652298850574714</v>
      </c>
      <c r="I75" s="10">
        <f>C71*H75</f>
        <v>1.0465277777777777</v>
      </c>
    </row>
    <row r="76" spans="1:11" x14ac:dyDescent="0.35">
      <c r="A76" s="3" t="s">
        <v>21</v>
      </c>
      <c r="B76" s="5">
        <f>B69/$B$71</f>
        <v>0.53333333333333333</v>
      </c>
      <c r="C76" s="5">
        <f>C69/$C$71</f>
        <v>0.31034482758620691</v>
      </c>
      <c r="D76" s="5">
        <f>D69/$D$71</f>
        <v>0.41379310344827591</v>
      </c>
      <c r="E76" s="5">
        <f>E69/$E$71</f>
        <v>0.33333333333333331</v>
      </c>
      <c r="G76" s="8">
        <f>SUM(B76:E76)</f>
        <v>1.5908045977011496</v>
      </c>
      <c r="H76" s="10">
        <f>G76/4</f>
        <v>0.39770114942528739</v>
      </c>
      <c r="I76" s="10">
        <f>D71*H76</f>
        <v>0.96111111111111114</v>
      </c>
    </row>
    <row r="77" spans="1:11" x14ac:dyDescent="0.35">
      <c r="A77" s="3" t="s">
        <v>22</v>
      </c>
      <c r="B77" s="5">
        <f>B70/$B$71</f>
        <v>6.6666666666666666E-2</v>
      </c>
      <c r="C77" s="5">
        <f>C70/$C$71</f>
        <v>6.8965517241379309E-2</v>
      </c>
      <c r="D77" s="5">
        <f>D70/$D$71</f>
        <v>0.10344827586206898</v>
      </c>
      <c r="E77" s="5">
        <f>E70/$E$71</f>
        <v>8.3333333333333329E-2</v>
      </c>
      <c r="G77" s="8">
        <f>SUM(B77:E77)</f>
        <v>0.32241379310344831</v>
      </c>
      <c r="H77" s="10">
        <f>G77/4</f>
        <v>8.0603448275862077E-2</v>
      </c>
      <c r="I77" s="10">
        <f>E71*H77</f>
        <v>0.96724137931034493</v>
      </c>
    </row>
    <row r="78" spans="1:11" x14ac:dyDescent="0.35">
      <c r="A78" s="4" t="s">
        <v>12</v>
      </c>
      <c r="B78" s="11">
        <f>SUM(B74:B77)</f>
        <v>1</v>
      </c>
      <c r="C78" s="11">
        <f>SUM(C74:C77)</f>
        <v>1</v>
      </c>
      <c r="D78" s="11">
        <f>SUM(D74:D77)</f>
        <v>1</v>
      </c>
      <c r="E78" s="11">
        <f>SUM(E74:E77)</f>
        <v>0.99999999999999989</v>
      </c>
      <c r="I78" s="10">
        <f>SUM(I74:I77)</f>
        <v>4.1192768199233711</v>
      </c>
    </row>
    <row r="79" spans="1:11" x14ac:dyDescent="0.35">
      <c r="H79" s="12" t="s">
        <v>16</v>
      </c>
      <c r="I79" s="13">
        <f>(I78-4)/(4-1)</f>
        <v>3.9758939974457043E-2</v>
      </c>
    </row>
    <row r="80" spans="1:11" x14ac:dyDescent="0.35">
      <c r="H80" s="12" t="s">
        <v>17</v>
      </c>
      <c r="I80" s="13">
        <f>I79/0.9</f>
        <v>4.4176599971618935E-2</v>
      </c>
      <c r="K80" s="14" t="str">
        <f>IF(I80&lt;=0.1,"Konsisten","Tidak Konsisten")</f>
        <v>Konsisten</v>
      </c>
    </row>
    <row r="82" spans="1:8" x14ac:dyDescent="0.35">
      <c r="A82" s="1" t="s">
        <v>25</v>
      </c>
    </row>
    <row r="83" spans="1:8" x14ac:dyDescent="0.35">
      <c r="A83" s="3" t="s">
        <v>26</v>
      </c>
      <c r="B83" s="3" t="s">
        <v>9</v>
      </c>
      <c r="C83" s="3" t="s">
        <v>10</v>
      </c>
      <c r="D83" s="3" t="s">
        <v>11</v>
      </c>
      <c r="G83" s="3" t="s">
        <v>8</v>
      </c>
      <c r="H83" s="3" t="s">
        <v>27</v>
      </c>
    </row>
    <row r="84" spans="1:8" x14ac:dyDescent="0.35">
      <c r="A84" s="3" t="s">
        <v>19</v>
      </c>
      <c r="B84" s="15">
        <f>H40</f>
        <v>0.12919437340153453</v>
      </c>
      <c r="C84" s="15">
        <f>H57</f>
        <v>0.12430697852632983</v>
      </c>
      <c r="D84" s="15">
        <f>H74</f>
        <v>0.30517241379310345</v>
      </c>
      <c r="G84" s="16" t="s">
        <v>9</v>
      </c>
      <c r="H84" s="10">
        <f>H24</f>
        <v>0.32023809523809521</v>
      </c>
    </row>
    <row r="85" spans="1:8" x14ac:dyDescent="0.35">
      <c r="A85" s="3" t="s">
        <v>20</v>
      </c>
      <c r="B85" s="15">
        <f>H41</f>
        <v>8.0031969309462922E-2</v>
      </c>
      <c r="C85" s="15">
        <f>H58</f>
        <v>7.7212962500208246E-2</v>
      </c>
      <c r="D85" s="15">
        <f>H75</f>
        <v>0.21652298850574714</v>
      </c>
      <c r="G85" s="16" t="s">
        <v>10</v>
      </c>
      <c r="H85" s="10">
        <f>H25</f>
        <v>0.55714285714285705</v>
      </c>
    </row>
    <row r="86" spans="1:8" x14ac:dyDescent="0.35">
      <c r="A86" s="3" t="s">
        <v>21</v>
      </c>
      <c r="B86" s="15">
        <f>H42</f>
        <v>0.43649616368286448</v>
      </c>
      <c r="C86" s="15">
        <f>H59</f>
        <v>0.52563700501441013</v>
      </c>
      <c r="D86" s="15">
        <f>H76</f>
        <v>0.39770114942528739</v>
      </c>
      <c r="G86" s="16" t="s">
        <v>11</v>
      </c>
      <c r="H86" s="10">
        <f>H26</f>
        <v>0.12261904761904761</v>
      </c>
    </row>
    <row r="87" spans="1:8" x14ac:dyDescent="0.35">
      <c r="A87" s="3" t="s">
        <v>22</v>
      </c>
      <c r="B87" s="15">
        <f>H43</f>
        <v>0.35427749360613808</v>
      </c>
      <c r="C87" s="15">
        <f>H60</f>
        <v>0.27284305395905178</v>
      </c>
      <c r="D87" s="15">
        <f>H77</f>
        <v>8.0603448275862077E-2</v>
      </c>
    </row>
    <row r="89" spans="1:8" x14ac:dyDescent="0.35">
      <c r="A89" s="3" t="s">
        <v>26</v>
      </c>
      <c r="B89" s="3" t="s">
        <v>9</v>
      </c>
      <c r="C89" s="3" t="s">
        <v>10</v>
      </c>
      <c r="D89" s="3" t="s">
        <v>11</v>
      </c>
      <c r="G89" s="3" t="s">
        <v>28</v>
      </c>
      <c r="H89" s="3" t="s">
        <v>29</v>
      </c>
    </row>
    <row r="90" spans="1:8" x14ac:dyDescent="0.35">
      <c r="A90" s="3" t="s">
        <v>19</v>
      </c>
      <c r="B90" s="15">
        <f>B84*$H$84</f>
        <v>4.1372960053586649E-2</v>
      </c>
      <c r="C90" s="15">
        <f>C84*$H$85</f>
        <v>6.9256745178955179E-2</v>
      </c>
      <c r="D90" s="15">
        <f>D84*$H$86</f>
        <v>3.7419950738916255E-2</v>
      </c>
      <c r="G90" s="15">
        <f>SUM(B90:D90)</f>
        <v>0.14804965597145808</v>
      </c>
      <c r="H90" s="17">
        <f>RANK(G90,$G$90:$G$93,0)</f>
        <v>3</v>
      </c>
    </row>
    <row r="91" spans="1:8" x14ac:dyDescent="0.35">
      <c r="A91" s="3" t="s">
        <v>20</v>
      </c>
      <c r="B91" s="15">
        <f>B85*$H$84</f>
        <v>2.5629285409816099E-2</v>
      </c>
      <c r="C91" s="15">
        <f>C85*$H$85</f>
        <v>4.3018650535830302E-2</v>
      </c>
      <c r="D91" s="15">
        <f>D85*$H$86</f>
        <v>2.6549842638204708E-2</v>
      </c>
      <c r="G91" s="15">
        <f>SUM(B91:D91)</f>
        <v>9.5197778583851117E-2</v>
      </c>
      <c r="H91" s="17">
        <f>RANK(G91,$G$90:$G$93,0)</f>
        <v>4</v>
      </c>
    </row>
    <row r="92" spans="1:8" x14ac:dyDescent="0.35">
      <c r="A92" s="3" t="s">
        <v>21</v>
      </c>
      <c r="B92" s="15">
        <f>B86*$H$84</f>
        <v>0.13978270003653634</v>
      </c>
      <c r="C92" s="15">
        <f>C86*$H$85</f>
        <v>0.29285490279374277</v>
      </c>
      <c r="D92" s="15">
        <f>D86*$H$86</f>
        <v>4.8765736179529284E-2</v>
      </c>
      <c r="G92" s="15">
        <f>SUM(B92:D92)</f>
        <v>0.48140333900980836</v>
      </c>
      <c r="H92" s="17">
        <f>RANK(G92,$G$90:$G$93,0)</f>
        <v>1</v>
      </c>
    </row>
    <row r="93" spans="1:8" x14ac:dyDescent="0.35">
      <c r="A93" s="3" t="s">
        <v>22</v>
      </c>
      <c r="B93" s="15">
        <f>B87*$H$84</f>
        <v>0.11345314973815611</v>
      </c>
      <c r="C93" s="15">
        <f>C87*$H$85</f>
        <v>0.15201255863432883</v>
      </c>
      <c r="D93" s="15">
        <f>D87*$H$86</f>
        <v>9.8835180623973728E-3</v>
      </c>
      <c r="G93" s="15">
        <f>SUM(B93:D93)</f>
        <v>0.27534922643488235</v>
      </c>
      <c r="H93" s="17">
        <f>RANK(G93,$G$90:$G$93,0)</f>
        <v>2</v>
      </c>
    </row>
    <row r="95" spans="1:8" x14ac:dyDescent="0.35">
      <c r="A95" s="18" t="s">
        <v>30</v>
      </c>
    </row>
    <row r="96" spans="1:8" x14ac:dyDescent="0.35">
      <c r="A96" s="3" t="s">
        <v>31</v>
      </c>
      <c r="B96" s="3" t="s">
        <v>32</v>
      </c>
      <c r="C96" s="3" t="s">
        <v>33</v>
      </c>
    </row>
    <row r="97" spans="1:5" x14ac:dyDescent="0.35">
      <c r="A97" s="17">
        <f>H90</f>
        <v>3</v>
      </c>
      <c r="B97" s="15">
        <f>G90</f>
        <v>0.14804965597145808</v>
      </c>
      <c r="C97" s="17" t="str">
        <f>A90</f>
        <v>Avanza</v>
      </c>
    </row>
    <row r="98" spans="1:5" x14ac:dyDescent="0.35">
      <c r="A98" s="17">
        <f>H91</f>
        <v>4</v>
      </c>
      <c r="B98" s="15">
        <f>G91</f>
        <v>9.5197778583851117E-2</v>
      </c>
      <c r="C98" s="17" t="str">
        <f>A91</f>
        <v>Xenia</v>
      </c>
    </row>
    <row r="99" spans="1:5" x14ac:dyDescent="0.35">
      <c r="A99" s="17">
        <f>H92</f>
        <v>1</v>
      </c>
      <c r="B99" s="15">
        <f>G92</f>
        <v>0.48140333900980836</v>
      </c>
      <c r="C99" s="17" t="str">
        <f>A92</f>
        <v>Ertiga</v>
      </c>
    </row>
    <row r="100" spans="1:5" x14ac:dyDescent="0.35">
      <c r="A100" s="17">
        <f>H93</f>
        <v>2</v>
      </c>
      <c r="B100" s="15">
        <f>G93</f>
        <v>0.27534922643488235</v>
      </c>
      <c r="C100" s="17" t="str">
        <f>A93</f>
        <v>Grand Livina</v>
      </c>
    </row>
    <row r="102" spans="1:5" x14ac:dyDescent="0.35">
      <c r="A102" s="1" t="s">
        <v>34</v>
      </c>
      <c r="B102" s="14" t="str">
        <f>INDEX(A90:A93,MATCH(1,H90:H93,0))</f>
        <v>Ertiga</v>
      </c>
    </row>
    <row r="105" spans="1:5" x14ac:dyDescent="0.35">
      <c r="A105" s="1" t="s">
        <v>35</v>
      </c>
    </row>
    <row r="106" spans="1:5" x14ac:dyDescent="0.35">
      <c r="A106" s="3" t="s">
        <v>36</v>
      </c>
      <c r="B106" s="3" t="s">
        <v>15</v>
      </c>
      <c r="C106" s="3" t="s">
        <v>16</v>
      </c>
      <c r="D106" s="3" t="s">
        <v>17</v>
      </c>
      <c r="E106" s="3" t="s">
        <v>37</v>
      </c>
    </row>
    <row r="107" spans="1:5" x14ac:dyDescent="0.35">
      <c r="A107" s="3" t="s">
        <v>8</v>
      </c>
      <c r="B107" s="15">
        <f>I27</f>
        <v>3.0234126984126983</v>
      </c>
      <c r="C107" s="19">
        <f>I28</f>
        <v>1.1706349206349165E-2</v>
      </c>
      <c r="D107" s="19">
        <f>I29</f>
        <v>2.0183360700602011E-2</v>
      </c>
      <c r="E107" s="14" t="str">
        <f>K29</f>
        <v>Konsisten</v>
      </c>
    </row>
    <row r="108" spans="1:5" x14ac:dyDescent="0.35">
      <c r="A108" s="3" t="s">
        <v>38</v>
      </c>
      <c r="B108" s="15">
        <f>I44</f>
        <v>4.1901601662404087</v>
      </c>
      <c r="C108" s="19">
        <f>I45</f>
        <v>6.3386722080136224E-2</v>
      </c>
      <c r="D108" s="19">
        <f>I46</f>
        <v>7.0429691200151356E-2</v>
      </c>
      <c r="E108" s="14" t="str">
        <f>K46</f>
        <v>Konsisten</v>
      </c>
    </row>
    <row r="109" spans="1:5" x14ac:dyDescent="0.35">
      <c r="A109" s="3" t="s">
        <v>39</v>
      </c>
      <c r="B109" s="15">
        <f>I61</f>
        <v>4.1710815237309884</v>
      </c>
      <c r="C109" s="19">
        <f>I62</f>
        <v>5.7027174576996131E-2</v>
      </c>
      <c r="D109" s="19">
        <f>I63</f>
        <v>6.3363527307773476E-2</v>
      </c>
      <c r="E109" s="14" t="str">
        <f>K63</f>
        <v>Konsisten</v>
      </c>
    </row>
    <row r="110" spans="1:5" x14ac:dyDescent="0.35">
      <c r="A110" s="3" t="s">
        <v>40</v>
      </c>
      <c r="B110" s="15">
        <f>I78</f>
        <v>4.1192768199233711</v>
      </c>
      <c r="C110" s="19">
        <f>I79</f>
        <v>3.9758939974457043E-2</v>
      </c>
      <c r="D110" s="19">
        <f>I80</f>
        <v>4.4176599971618935E-2</v>
      </c>
      <c r="E110" s="14" t="str">
        <f>K80</f>
        <v>Konsisten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AHP_Mobil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 breakyy</cp:lastModifiedBy>
  <cp:revision>1</cp:revision>
  <dcterms:created xsi:type="dcterms:W3CDTF">2026-10-14T05:11:12Z</dcterms:created>
  <dcterms:modified xsi:type="dcterms:W3CDTF">2026-10-15T11:38:51Z</dcterms:modified>
  <dc:language>en-US</dc:language>
</cp:coreProperties>
</file>